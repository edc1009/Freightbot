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P:\FFF\出貨\AIC250021 2025 FALL BOX LUNCH BAG  INV. AIC250106\出貨\AIC250106C - 1 x 40' - 0612\"/>
    </mc:Choice>
  </mc:AlternateContent>
  <xr:revisionPtr revIDLastSave="0" documentId="13_ncr:1_{DCBBEE05-6586-4380-8B44-1590A901E8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50612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8" l="1"/>
  <c r="M11" i="8"/>
  <c r="L11" i="8"/>
  <c r="M10" i="8"/>
  <c r="L10" i="8"/>
  <c r="M9" i="8"/>
  <c r="L9" i="8"/>
  <c r="M8" i="8"/>
  <c r="L8" i="8"/>
  <c r="M7" i="8"/>
  <c r="L7" i="8"/>
  <c r="M6" i="8"/>
  <c r="L6" i="8"/>
  <c r="K11" i="8"/>
  <c r="N11" i="8" s="1"/>
  <c r="K10" i="8"/>
  <c r="N10" i="8" s="1"/>
  <c r="K9" i="8"/>
  <c r="N9" i="8" s="1"/>
  <c r="K8" i="8"/>
  <c r="N8" i="8" s="1"/>
  <c r="K7" i="8"/>
  <c r="N7" i="8" s="1"/>
  <c r="K6" i="8"/>
  <c r="N6" i="8" s="1"/>
  <c r="E11" i="8"/>
  <c r="E10" i="8"/>
  <c r="E9" i="8"/>
  <c r="E8" i="8"/>
  <c r="E7" i="8"/>
  <c r="E6" i="8"/>
  <c r="E5" i="8"/>
  <c r="M5" i="8"/>
  <c r="L5" i="8"/>
  <c r="L12" i="8" l="1"/>
  <c r="M12" i="8"/>
  <c r="K5" i="8"/>
  <c r="K12" i="8" l="1"/>
  <c r="N5" i="8"/>
  <c r="N12" i="8" s="1"/>
</calcChain>
</file>

<file path=xl/sharedStrings.xml><?xml version="1.0" encoding="utf-8"?>
<sst xmlns="http://schemas.openxmlformats.org/spreadsheetml/2006/main" count="48" uniqueCount="38">
  <si>
    <t>1*40HQ', S/O:COSU6420022630 ;  Container#: GCXU5446620 ; SEAL#CV472152; TARE :3700 KGS</t>
  </si>
  <si>
    <t>P.O#</t>
  </si>
  <si>
    <t>ITEM NO.</t>
  </si>
  <si>
    <t>DESC.</t>
  </si>
  <si>
    <t>@QTY</t>
  </si>
  <si>
    <t>TTL QTY</t>
  </si>
  <si>
    <t>CTN SIZE 
(CM)</t>
  </si>
  <si>
    <r>
      <rPr>
        <sz val="14"/>
        <color theme="1"/>
        <rFont val="新細明體"/>
        <family val="1"/>
        <charset val="136"/>
      </rPr>
      <t>NW</t>
    </r>
    <r>
      <rPr>
        <sz val="14"/>
        <color theme="1"/>
        <rFont val="宋体"/>
        <charset val="136"/>
      </rPr>
      <t xml:space="preserve">
</t>
    </r>
    <r>
      <rPr>
        <sz val="14"/>
        <color theme="1"/>
        <rFont val="Arial"/>
        <family val="2"/>
      </rPr>
      <t>(KG)</t>
    </r>
  </si>
  <si>
    <r>
      <rPr>
        <sz val="14"/>
        <color theme="1"/>
        <rFont val="新細明體"/>
        <family val="1"/>
        <charset val="136"/>
      </rPr>
      <t>GW</t>
    </r>
    <r>
      <rPr>
        <sz val="14"/>
        <color theme="1"/>
        <rFont val="宋体"/>
        <charset val="136"/>
      </rPr>
      <t xml:space="preserve">
</t>
    </r>
    <r>
      <rPr>
        <sz val="14"/>
        <color theme="1"/>
        <rFont val="Arial"/>
        <family val="2"/>
      </rPr>
      <t>(KG)</t>
    </r>
  </si>
  <si>
    <t>CTNS</t>
  </si>
  <si>
    <t>CUFT</t>
  </si>
  <si>
    <t>TTL CUFT</t>
  </si>
  <si>
    <t>TTL NW</t>
  </si>
  <si>
    <t>TTL GW</t>
  </si>
  <si>
    <t>TTL CBM</t>
  </si>
  <si>
    <t>20241227014164</t>
  </si>
  <si>
    <t>MDP-FA-016</t>
  </si>
  <si>
    <t>Modern Picnic Lunch Bag</t>
  </si>
  <si>
    <t>53*40*32</t>
  </si>
  <si>
    <t>20250219014685</t>
  </si>
  <si>
    <t>CHI-HO-047</t>
  </si>
  <si>
    <t>Chic &amp; Tonic White Pumpkin Coffee Mug (set of 2)</t>
  </si>
  <si>
    <t>54.1*28.7*25.5</t>
  </si>
  <si>
    <t>29*28*25</t>
  </si>
  <si>
    <t>CHI-HO-048</t>
  </si>
  <si>
    <t>Chic &amp; Tonic White Pumpkin Dessert Plates (set of 2)</t>
  </si>
  <si>
    <t>45.7*22.3*29.8</t>
  </si>
  <si>
    <t>23.5*22*28.5</t>
  </si>
  <si>
    <t>20250320015128</t>
  </si>
  <si>
    <t>SHS-HO-134</t>
  </si>
  <si>
    <t>Short Stories Set of 2 Wine glasses</t>
  </si>
  <si>
    <t>64*49*28</t>
  </si>
  <si>
    <t>49*42.5*28</t>
  </si>
  <si>
    <t>FFF PACKING LIST - 2025 FALL BOX-20250612</t>
    <phoneticPr fontId="16" type="noConversion"/>
  </si>
  <si>
    <t xml:space="preserve">CARRIER : COSCO </t>
  </si>
  <si>
    <t>COSCO ASIA 098E</t>
  </si>
  <si>
    <t>ETD : 06.14</t>
  </si>
  <si>
    <t>ETA LGB : 07.04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</si>
</sst>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0.00_);[Red]\(0.00\)"/>
  </numFmts>
  <fonts count="17">
    <font>
      <sz val="11"/>
      <color theme="1"/>
      <name val="新細明體"/>
      <charset val="134"/>
      <scheme val="minor"/>
    </font>
    <font>
      <sz val="14"/>
      <color theme="1"/>
      <name val="宋体"/>
      <charset val="136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</font>
    <font>
      <sz val="14"/>
      <color theme="1"/>
      <name val="新細明體"/>
      <family val="1"/>
      <charset val="136"/>
    </font>
    <font>
      <sz val="12"/>
      <color theme="1"/>
      <name val="宋体"/>
      <charset val="136"/>
    </font>
    <font>
      <sz val="12"/>
      <color theme="1"/>
      <name val="等线"/>
      <charset val="136"/>
    </font>
    <font>
      <sz val="14"/>
      <color theme="1"/>
      <name val="細明體"/>
      <family val="3"/>
      <charset val="136"/>
    </font>
    <font>
      <sz val="11"/>
      <color theme="1"/>
      <name val="新細明體"/>
      <family val="1"/>
      <charset val="136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3" fontId="7" fillId="0" borderId="0" applyFont="0" applyFill="0" applyBorder="0" applyAlignment="0" applyProtection="0">
      <alignment vertical="center"/>
    </xf>
    <xf numFmtId="0" fontId="14" fillId="0" borderId="0"/>
    <xf numFmtId="0" fontId="7" fillId="0" borderId="0"/>
    <xf numFmtId="0" fontId="15" fillId="0" borderId="0"/>
    <xf numFmtId="0" fontId="15" fillId="0" borderId="0"/>
    <xf numFmtId="0" fontId="14" fillId="0" borderId="0"/>
    <xf numFmtId="0" fontId="7" fillId="0" borderId="0">
      <alignment vertical="center"/>
    </xf>
  </cellStyleXfs>
  <cellXfs count="53">
    <xf numFmtId="0" fontId="0" fillId="0" borderId="0" xfId="0"/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/>
    </xf>
    <xf numFmtId="43" fontId="2" fillId="2" borderId="8" xfId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43" fontId="2" fillId="2" borderId="10" xfId="1" applyFont="1" applyFill="1" applyBorder="1" applyAlignment="1">
      <alignment horizontal="center" vertical="center"/>
    </xf>
    <xf numFmtId="0" fontId="5" fillId="2" borderId="1" xfId="0" applyFont="1" applyFill="1" applyBorder="1"/>
    <xf numFmtId="43" fontId="3" fillId="2" borderId="1" xfId="1" applyFont="1" applyFill="1" applyBorder="1" applyAlignment="1">
      <alignment horizontal="center" vertical="center"/>
    </xf>
    <xf numFmtId="43" fontId="3" fillId="2" borderId="13" xfId="1" applyFont="1" applyFill="1" applyBorder="1" applyAlignment="1">
      <alignment horizontal="center" vertical="center"/>
    </xf>
    <xf numFmtId="43" fontId="4" fillId="2" borderId="10" xfId="1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vertical="center"/>
    </xf>
    <xf numFmtId="0" fontId="2" fillId="2" borderId="7" xfId="0" quotePrefix="1" applyFont="1" applyFill="1" applyBorder="1" applyAlignment="1">
      <alignment vertical="center"/>
    </xf>
    <xf numFmtId="0" fontId="2" fillId="2" borderId="8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8" fillId="2" borderId="0" xfId="6" applyFont="1" applyFill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9" fillId="2" borderId="4" xfId="6" applyFont="1" applyFill="1" applyBorder="1" applyAlignment="1">
      <alignment horizontal="center" vertical="center" wrapText="1"/>
    </xf>
    <xf numFmtId="0" fontId="9" fillId="2" borderId="6" xfId="6" applyFont="1" applyFill="1" applyBorder="1" applyAlignment="1">
      <alignment horizontal="center" vertical="center" wrapText="1"/>
    </xf>
    <xf numFmtId="0" fontId="9" fillId="2" borderId="5" xfId="6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43" fontId="1" fillId="2" borderId="5" xfId="1" applyFont="1" applyFill="1" applyBorder="1" applyAlignment="1">
      <alignment horizontal="center" vertical="center" wrapText="1"/>
    </xf>
    <xf numFmtId="43" fontId="10" fillId="2" borderId="1" xfId="1" applyFont="1" applyFill="1" applyBorder="1" applyAlignment="1">
      <alignment horizontal="center" vertical="center"/>
    </xf>
    <xf numFmtId="176" fontId="9" fillId="2" borderId="5" xfId="0" applyNumberFormat="1" applyFont="1" applyFill="1" applyBorder="1" applyAlignment="1">
      <alignment horizontal="center" vertical="center" wrapText="1"/>
    </xf>
    <xf numFmtId="176" fontId="10" fillId="2" borderId="1" xfId="0" applyNumberFormat="1" applyFont="1" applyFill="1" applyBorder="1" applyAlignment="1">
      <alignment horizontal="center" vertical="center" wrapText="1"/>
    </xf>
    <xf numFmtId="176" fontId="9" fillId="2" borderId="5" xfId="0" applyNumberFormat="1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176" fontId="12" fillId="2" borderId="12" xfId="0" applyNumberFormat="1" applyFont="1" applyFill="1" applyBorder="1" applyAlignment="1">
      <alignment horizontal="center" vertical="center" wrapText="1"/>
    </xf>
    <xf numFmtId="176" fontId="10" fillId="2" borderId="13" xfId="0" applyNumberFormat="1" applyFont="1" applyFill="1" applyBorder="1" applyAlignment="1">
      <alignment horizontal="center" vertical="center"/>
    </xf>
  </cellXfs>
  <cellStyles count="8">
    <cellStyle name="Normal" xfId="2" xr:uid="{00000000-0005-0000-0000-000031000000}"/>
    <cellStyle name="一般" xfId="0" builtinId="0"/>
    <cellStyle name="一般 2" xfId="7" xr:uid="{00000000-0005-0000-0000-000036000000}"/>
    <cellStyle name="千分位" xfId="1" builtinId="3"/>
    <cellStyle name="常规 2" xfId="3" xr:uid="{00000000-0005-0000-0000-000032000000}"/>
    <cellStyle name="常规 3" xfId="4" xr:uid="{00000000-0005-0000-0000-000033000000}"/>
    <cellStyle name="常规 4" xfId="5" xr:uid="{00000000-0005-0000-0000-000034000000}"/>
    <cellStyle name="常规_品名" xfId="6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819150" cy="0"/>
    <xdr:pic>
      <xdr:nvPicPr>
        <xdr:cNvPr id="2" name="image7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5110" y="1047115"/>
          <a:ext cx="819150" cy="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7"/>
  <sheetViews>
    <sheetView tabSelected="1" workbookViewId="0">
      <selection activeCell="C20" sqref="C20"/>
    </sheetView>
  </sheetViews>
  <sheetFormatPr defaultColWidth="8.875" defaultRowHeight="15"/>
  <cols>
    <col min="1" max="1" width="21.75" style="6" customWidth="1"/>
    <col min="2" max="2" width="18" style="6" customWidth="1"/>
    <col min="3" max="3" width="24.125" style="6" customWidth="1"/>
    <col min="4" max="4" width="8.875" style="6" customWidth="1"/>
    <col min="5" max="5" width="9" style="6" customWidth="1"/>
    <col min="6" max="6" width="18.25" style="30" customWidth="1"/>
    <col min="7" max="8" width="9.75" style="30" customWidth="1"/>
    <col min="9" max="9" width="7.75" style="30" customWidth="1"/>
    <col min="10" max="10" width="8.75" style="30" customWidth="1"/>
    <col min="11" max="11" width="14.625" style="31" customWidth="1"/>
    <col min="12" max="12" width="13.625" style="31" customWidth="1"/>
    <col min="13" max="13" width="13.625" style="7" customWidth="1"/>
    <col min="14" max="14" width="11.375" style="7" customWidth="1"/>
    <col min="15" max="16384" width="8.875" style="6"/>
  </cols>
  <sheetData>
    <row r="1" spans="1:14" s="1" customFormat="1" ht="22.95" customHeight="1">
      <c r="A1" s="33" t="s">
        <v>33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s="2" customFormat="1" ht="21" customHeight="1">
      <c r="A2" s="34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  <c r="N2" s="23"/>
    </row>
    <row r="3" spans="1:14" s="3" customFormat="1" ht="21" customHeight="1">
      <c r="A3" s="37" t="s">
        <v>1</v>
      </c>
      <c r="B3" s="39" t="s">
        <v>2</v>
      </c>
      <c r="C3" s="41" t="s">
        <v>3</v>
      </c>
      <c r="D3" s="41" t="s">
        <v>4</v>
      </c>
      <c r="E3" s="43" t="s">
        <v>5</v>
      </c>
      <c r="F3" s="39" t="s">
        <v>6</v>
      </c>
      <c r="G3" s="45" t="s">
        <v>7</v>
      </c>
      <c r="H3" s="45" t="s">
        <v>8</v>
      </c>
      <c r="I3" s="41" t="s">
        <v>9</v>
      </c>
      <c r="J3" s="43" t="s">
        <v>10</v>
      </c>
      <c r="K3" s="47" t="s">
        <v>11</v>
      </c>
      <c r="L3" s="49" t="s">
        <v>12</v>
      </c>
      <c r="M3" s="49" t="s">
        <v>13</v>
      </c>
      <c r="N3" s="51" t="s">
        <v>14</v>
      </c>
    </row>
    <row r="4" spans="1:14" s="3" customFormat="1" ht="17.399999999999999">
      <c r="A4" s="38"/>
      <c r="B4" s="40"/>
      <c r="C4" s="42"/>
      <c r="D4" s="42"/>
      <c r="E4" s="44"/>
      <c r="F4" s="40"/>
      <c r="G4" s="46"/>
      <c r="H4" s="46"/>
      <c r="I4" s="42"/>
      <c r="J4" s="44"/>
      <c r="K4" s="48"/>
      <c r="L4" s="50"/>
      <c r="M4" s="50"/>
      <c r="N4" s="52"/>
    </row>
    <row r="5" spans="1:14" s="4" customFormat="1" ht="35.4" customHeight="1">
      <c r="A5" s="27" t="s">
        <v>15</v>
      </c>
      <c r="B5" s="8" t="s">
        <v>16</v>
      </c>
      <c r="C5" s="9" t="s">
        <v>17</v>
      </c>
      <c r="D5" s="10">
        <v>50</v>
      </c>
      <c r="E5" s="11">
        <f>D5*I5</f>
        <v>25000</v>
      </c>
      <c r="F5" s="13" t="s">
        <v>18</v>
      </c>
      <c r="G5" s="12">
        <v>9</v>
      </c>
      <c r="H5" s="12">
        <v>9.9</v>
      </c>
      <c r="I5" s="10">
        <v>500</v>
      </c>
      <c r="J5" s="12">
        <v>2.4</v>
      </c>
      <c r="K5" s="12">
        <f>I5*J5</f>
        <v>1200</v>
      </c>
      <c r="L5" s="12">
        <f>G5*I5</f>
        <v>4500</v>
      </c>
      <c r="M5" s="24">
        <f>H5*I5</f>
        <v>4950</v>
      </c>
      <c r="N5" s="25">
        <f>K5/35.315</f>
        <v>33.979895228656382</v>
      </c>
    </row>
    <row r="6" spans="1:14" s="4" customFormat="1" ht="45">
      <c r="A6" s="28" t="s">
        <v>19</v>
      </c>
      <c r="B6" s="13" t="s">
        <v>20</v>
      </c>
      <c r="C6" s="14" t="s">
        <v>21</v>
      </c>
      <c r="D6" s="15">
        <v>8</v>
      </c>
      <c r="E6" s="11">
        <f t="shared" ref="E6:E11" si="0">D6*I6</f>
        <v>496</v>
      </c>
      <c r="F6" s="29" t="s">
        <v>22</v>
      </c>
      <c r="G6" s="16">
        <v>8</v>
      </c>
      <c r="H6" s="16">
        <v>9.08</v>
      </c>
      <c r="I6" s="15">
        <v>62</v>
      </c>
      <c r="J6" s="16">
        <v>1.4</v>
      </c>
      <c r="K6" s="12">
        <f t="shared" ref="K6:K11" si="1">I6*J6</f>
        <v>86.8</v>
      </c>
      <c r="L6" s="12">
        <f t="shared" ref="L6:L11" si="2">G6*I6</f>
        <v>496</v>
      </c>
      <c r="M6" s="24">
        <f t="shared" ref="M6:M11" si="3">H6*I6</f>
        <v>562.96</v>
      </c>
      <c r="N6" s="25">
        <f t="shared" ref="N6:N11" si="4">K6/35.315</f>
        <v>2.4578790882061448</v>
      </c>
    </row>
    <row r="7" spans="1:14" s="4" customFormat="1" ht="45">
      <c r="A7" s="28" t="s">
        <v>19</v>
      </c>
      <c r="B7" s="13" t="s">
        <v>20</v>
      </c>
      <c r="C7" s="14" t="s">
        <v>21</v>
      </c>
      <c r="D7" s="15">
        <v>4</v>
      </c>
      <c r="E7" s="11">
        <f t="shared" si="0"/>
        <v>4</v>
      </c>
      <c r="F7" s="29" t="s">
        <v>23</v>
      </c>
      <c r="G7" s="16">
        <v>4</v>
      </c>
      <c r="H7" s="16">
        <v>4.59</v>
      </c>
      <c r="I7" s="15">
        <v>1</v>
      </c>
      <c r="J7" s="16">
        <v>0.72</v>
      </c>
      <c r="K7" s="12">
        <f t="shared" si="1"/>
        <v>0.72</v>
      </c>
      <c r="L7" s="12">
        <f t="shared" si="2"/>
        <v>4</v>
      </c>
      <c r="M7" s="24">
        <f t="shared" si="3"/>
        <v>4.59</v>
      </c>
      <c r="N7" s="25">
        <f t="shared" si="4"/>
        <v>2.0387937137193828E-2</v>
      </c>
    </row>
    <row r="8" spans="1:14" s="4" customFormat="1" ht="45">
      <c r="A8" s="28" t="s">
        <v>19</v>
      </c>
      <c r="B8" s="13" t="s">
        <v>24</v>
      </c>
      <c r="C8" s="14" t="s">
        <v>25</v>
      </c>
      <c r="D8" s="15">
        <v>8</v>
      </c>
      <c r="E8" s="11">
        <f t="shared" si="0"/>
        <v>496</v>
      </c>
      <c r="F8" s="29" t="s">
        <v>26</v>
      </c>
      <c r="G8" s="16">
        <v>8</v>
      </c>
      <c r="H8" s="16">
        <v>8.77</v>
      </c>
      <c r="I8" s="15">
        <v>62</v>
      </c>
      <c r="J8" s="16">
        <v>1.07</v>
      </c>
      <c r="K8" s="12">
        <f t="shared" si="1"/>
        <v>66.34</v>
      </c>
      <c r="L8" s="12">
        <f t="shared" si="2"/>
        <v>496</v>
      </c>
      <c r="M8" s="24">
        <f t="shared" si="3"/>
        <v>543.74</v>
      </c>
      <c r="N8" s="25">
        <f t="shared" si="4"/>
        <v>1.8785218745575536</v>
      </c>
    </row>
    <row r="9" spans="1:14" s="4" customFormat="1" ht="45">
      <c r="A9" s="28" t="s">
        <v>19</v>
      </c>
      <c r="B9" s="13" t="s">
        <v>24</v>
      </c>
      <c r="C9" s="14" t="s">
        <v>25</v>
      </c>
      <c r="D9" s="15">
        <v>4</v>
      </c>
      <c r="E9" s="11">
        <f t="shared" si="0"/>
        <v>4</v>
      </c>
      <c r="F9" s="29" t="s">
        <v>27</v>
      </c>
      <c r="G9" s="16">
        <v>4</v>
      </c>
      <c r="H9" s="16">
        <v>4.3899999999999997</v>
      </c>
      <c r="I9" s="15">
        <v>1</v>
      </c>
      <c r="J9" s="16">
        <v>0.52</v>
      </c>
      <c r="K9" s="12">
        <f t="shared" si="1"/>
        <v>0.52</v>
      </c>
      <c r="L9" s="12">
        <f t="shared" si="2"/>
        <v>4</v>
      </c>
      <c r="M9" s="24">
        <f t="shared" si="3"/>
        <v>4.3899999999999997</v>
      </c>
      <c r="N9" s="25">
        <f t="shared" si="4"/>
        <v>1.4724621265751098E-2</v>
      </c>
    </row>
    <row r="10" spans="1:14" s="4" customFormat="1" ht="32.4">
      <c r="A10" s="28" t="s">
        <v>28</v>
      </c>
      <c r="B10" s="17" t="s">
        <v>29</v>
      </c>
      <c r="C10" s="18" t="s">
        <v>30</v>
      </c>
      <c r="D10" s="15">
        <v>12</v>
      </c>
      <c r="E10" s="11">
        <f t="shared" si="0"/>
        <v>492</v>
      </c>
      <c r="F10" s="29" t="s">
        <v>31</v>
      </c>
      <c r="G10" s="16">
        <v>5.76</v>
      </c>
      <c r="H10" s="16">
        <v>6.74</v>
      </c>
      <c r="I10" s="15">
        <v>41</v>
      </c>
      <c r="J10" s="16">
        <v>3.1</v>
      </c>
      <c r="K10" s="12">
        <f t="shared" si="1"/>
        <v>127.10000000000001</v>
      </c>
      <c r="L10" s="12">
        <f t="shared" si="2"/>
        <v>236.16</v>
      </c>
      <c r="M10" s="24">
        <f t="shared" si="3"/>
        <v>276.34000000000003</v>
      </c>
      <c r="N10" s="25">
        <f t="shared" si="4"/>
        <v>3.599037236301855</v>
      </c>
    </row>
    <row r="11" spans="1:14" s="4" customFormat="1" ht="32.4">
      <c r="A11" s="28" t="s">
        <v>28</v>
      </c>
      <c r="B11" s="17" t="s">
        <v>29</v>
      </c>
      <c r="C11" s="18" t="s">
        <v>30</v>
      </c>
      <c r="D11" s="15">
        <v>8</v>
      </c>
      <c r="E11" s="11">
        <f t="shared" si="0"/>
        <v>8</v>
      </c>
      <c r="F11" s="29" t="s">
        <v>32</v>
      </c>
      <c r="G11" s="16">
        <v>4</v>
      </c>
      <c r="H11" s="16">
        <v>4.5</v>
      </c>
      <c r="I11" s="15">
        <v>1</v>
      </c>
      <c r="J11" s="16">
        <v>2.06</v>
      </c>
      <c r="K11" s="12">
        <f t="shared" si="1"/>
        <v>2.06</v>
      </c>
      <c r="L11" s="12">
        <f t="shared" si="2"/>
        <v>4</v>
      </c>
      <c r="M11" s="24">
        <f t="shared" si="3"/>
        <v>4.5</v>
      </c>
      <c r="N11" s="25">
        <f t="shared" si="4"/>
        <v>5.833215347586012E-2</v>
      </c>
    </row>
    <row r="12" spans="1:14" s="5" customFormat="1" ht="22.05" customHeight="1">
      <c r="A12" s="19"/>
      <c r="B12" s="20"/>
      <c r="C12" s="20"/>
      <c r="D12" s="21"/>
      <c r="E12" s="20"/>
      <c r="F12" s="32"/>
      <c r="G12" s="22"/>
      <c r="H12" s="22"/>
      <c r="I12" s="32">
        <f>SUM(I5:I11)</f>
        <v>668</v>
      </c>
      <c r="J12" s="32"/>
      <c r="K12" s="22">
        <f>SUM(K5:K11)</f>
        <v>1483.5399999999997</v>
      </c>
      <c r="L12" s="22">
        <f>SUM(L5:L11)</f>
        <v>5740.16</v>
      </c>
      <c r="M12" s="26">
        <f>SUM(M5:M11)</f>
        <v>6346.52</v>
      </c>
      <c r="N12" s="26">
        <f>SUM(N5:N11)</f>
        <v>42.008778139600743</v>
      </c>
    </row>
    <row r="14" spans="1:14">
      <c r="B14" s="6" t="s">
        <v>34</v>
      </c>
    </row>
    <row r="15" spans="1:14">
      <c r="B15" s="6" t="s">
        <v>35</v>
      </c>
    </row>
    <row r="16" spans="1:14">
      <c r="B16" s="6" t="s">
        <v>36</v>
      </c>
    </row>
    <row r="17" spans="2:2">
      <c r="B17" s="6" t="s">
        <v>37</v>
      </c>
    </row>
  </sheetData>
  <mergeCells count="16">
    <mergeCell ref="A1:N1"/>
    <mergeCell ref="A2:M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honeticPr fontId="16" type="noConversion"/>
  <pageMargins left="0.15748031496063" right="0.15748031496063" top="0.98425196850393704" bottom="0.98425196850393704" header="0.511811023622047" footer="0.511811023622047"/>
  <pageSetup paperSize="9" scale="78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E4D185A216484E904989A2DA7A2AC7" ma:contentTypeVersion="13" ma:contentTypeDescription="Create a new document." ma:contentTypeScope="" ma:versionID="c21fa706d5623b38b1681d459adc172d">
  <xsd:schema xmlns:xsd="http://www.w3.org/2001/XMLSchema" xmlns:xs="http://www.w3.org/2001/XMLSchema" xmlns:p="http://schemas.microsoft.com/office/2006/metadata/properties" xmlns:ns2="b5e0d5fb-c698-45a0-b564-6e02e6d1cd68" xmlns:ns3="d9c9cce4-f617-4784-838b-02f88d5e08a8" targetNamespace="http://schemas.microsoft.com/office/2006/metadata/properties" ma:root="true" ma:fieldsID="346ef64478b9499f7e9f269eb1a4e058" ns2:_="" ns3:_="">
    <xsd:import namespace="b5e0d5fb-c698-45a0-b564-6e02e6d1cd68"/>
    <xsd:import namespace="d9c9cce4-f617-4784-838b-02f88d5e08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e0d5fb-c698-45a0-b564-6e02e6d1cd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9cce4-f617-4784-838b-02f88d5e08a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C5B15D-73C4-4E2D-ADA0-E6910534607F}">
  <ds:schemaRefs/>
</ds:datastoreItem>
</file>

<file path=customXml/itemProps2.xml><?xml version="1.0" encoding="utf-8"?>
<ds:datastoreItem xmlns:ds="http://schemas.openxmlformats.org/officeDocument/2006/customXml" ds:itemID="{F6195957-8DAD-4C33-9A14-075ACD4591F4}">
  <ds:schemaRefs/>
</ds:datastoreItem>
</file>

<file path=customXml/itemProps3.xml><?xml version="1.0" encoding="utf-8"?>
<ds:datastoreItem xmlns:ds="http://schemas.openxmlformats.org/officeDocument/2006/customXml" ds:itemID="{EED65553-7F1D-453A-908C-23881F9569D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Tran</dc:creator>
  <cp:lastModifiedBy>Jessica</cp:lastModifiedBy>
  <cp:lastPrinted>2025-06-06T06:32:00Z</cp:lastPrinted>
  <dcterms:created xsi:type="dcterms:W3CDTF">2021-10-04T17:11:00Z</dcterms:created>
  <dcterms:modified xsi:type="dcterms:W3CDTF">2025-06-13T08:08:03Z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0x01010001E4D185A216484E904989A2DA7A2AC7</vt:lpwstr>
  </property>
  <property fmtid="{D5CDD505-2E9C-101B-9397-08002B2CF9AE}" pid="3" name="ICV">
    <vt:lpwstr>8962938B527142A4A9982BC395EE9ADC_13</vt:lpwstr>
  </property>
  <property fmtid="{D5CDD505-2E9C-101B-9397-08002B2CF9AE}" pid="4" name="KSOProductBuildVer">
    <vt:lpwstr>2052-12.1.0.21541</vt:lpwstr>
  </property>
</Properties>
</file>